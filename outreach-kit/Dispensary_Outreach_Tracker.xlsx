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peline" sheetId="1" state="visible" r:id="rId3"/>
    <sheet name="Pricing" sheetId="2" state="visible" r:id="rId4"/>
    <sheet name="Playbook"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<sst xmlns="http://schemas.openxmlformats.org/spreadsheetml/2006/main" count="138" uniqueCount="91">
  <si>
    <t xml:space="preserve">Dispensary Outreach Pipeline</t>
  </si>
  <si>
    <t xml:space="preserve">Pre-populated with the 14 dispensaries already in CannaPickForMe data. Yellow-tinted columns are for you to fill in. Status uses the dropdown.</t>
  </si>
  <si>
    <t xml:space="preserve">Dispensary</t>
  </si>
  <si>
    <t xml:space="preserve">City</t>
  </si>
  <si>
    <t xml:space="preserve">Strains they stock with us (count)</t>
  </si>
  <si>
    <t xml:space="preserve">Strains stocked</t>
  </si>
  <si>
    <t xml:space="preserve">Tier to pitch</t>
  </si>
  <si>
    <t xml:space="preserve">Buyer / GM name</t>
  </si>
  <si>
    <t xml:space="preserve">Email</t>
  </si>
  <si>
    <t xml:space="preserve">Phone</t>
  </si>
  <si>
    <t xml:space="preserve">Status</t>
  </si>
  <si>
    <t xml:space="preserve">Last touch (date)</t>
  </si>
  <si>
    <t xml:space="preserve">Next action</t>
  </si>
  <si>
    <t xml:space="preserve">Next action date</t>
  </si>
  <si>
    <t xml:space="preserve">Notes</t>
  </si>
  <si>
    <t xml:space="preserve">Estimated MRR ($)</t>
  </si>
  <si>
    <t xml:space="preserve">Cookies Hayward</t>
  </si>
  <si>
    <t xml:space="preserve">Hayward</t>
  </si>
  <si>
    <t xml:space="preserve">06 OG, 24K, Alien OG, All Gas No Brakes, Apples and Bananas, Astroid Belts, Atomic Apple, Baby Joker, Baklava, Banga, Biscotti, Black Orchid, Blackberry Caviar, Blackberry Kush, Blue Andes, Blue Cookies, Blueberry Caviar, Blueberry Haze, Blueberry Poptarts, Brain Wash, Bubba Kush, Cereal A La Mode, Cereal Milk, Cheetah Piss, Cherry Pie, Chrome, Cinnamon Milk, Cobra Chi, Coconut Milk, Collins Ave, Cream OG, Dark Web, Delirium, Durban Poison, Flaming Cherries, Frostbite, Fruit Juice, GMO Cookies, Gary Payton, Gascotti, Gaslato, Gelato, Gelato 33, Gelato 41, Gelatti, Georgia Pie, Ghost OG, Girl Scout Cookies, Gush Mintz, Gushmints, Hawaiian Snow, Headbanger, Hollywood, Honey Dew, Horchata, Jack Herer, Jack Z, Jealousy, Kaleidoscope, King Louis XIII, Kryptidz, LCG, LCG x Biscotti, LCG x Z, Lemon Cherry Gelato, Lemon Diesel, Lemon Freeze Pop, Lemon Fruz, London Pound Cake, London Pound Cake #75, Long Island, Mars OG, Mega Z Red, Melon Mimosa, Melted Strawberries, Motorberry, Mule Fuel, Nerdz, Nightshade, Nimbus Plum, OG Kush, Oakstradam OG, Orange Zkittlez, Original Glue, Palo Cedro, Pancakes, Pandora's Box, Papaya, Peanut Butter Breath, Pebble Beach, Permanent Fumes, Permanent Marker, Pink Lemon x Tropaya, Pink Lemonade, Pomegranate Shake, Pruno, Purple Punch, Rainbow Beltz, Rainbow Runtz, Ridgeline Lantz, Runtz, SFV OG, Scottie's Cake, Sherbnado, Skywalker OG, Smacks, Sour Diesel, Sour Mochi, Space Face, Space Mintz, Stadanko, Sticky Buns, Strawberry Cough, Strawberry Guava, Strawnana, Sugar Cane, Super Boof, Super Lemon Haze, Super Mango Haze, Super Runtz x GM, Swaggy Kush, Sweet &amp; Sour, Sweet Tea, Sweetiez, Tequila Sunrise, Thai OG, The Soap, Triple Scoop, Trop Cherry, Tropic Thunder, Tropical Zkittlez, UFOreoz, Watermelon Z, Wave Runner, Wavvyland, Wedding Cake, Wedding Crasher, XJ-13, XXX Runtz, Yellow Diamonds, Z Animal #10, Z41, Zelium, Zion OG, Zkittlez Pie, Zlurpees, Zowahh, Zuava</t>
  </si>
  <si>
    <t xml:space="preserve">Sponsored Strain ($299)</t>
  </si>
  <si>
    <t xml:space="preserve">Not contacted</t>
  </si>
  <si>
    <t xml:space="preserve">Garden of Eden</t>
  </si>
  <si>
    <t xml:space="preserve">—</t>
  </si>
  <si>
    <t xml:space="preserve">Listed Partner ($0) → Banner pitch</t>
  </si>
  <si>
    <t xml:space="preserve">We Are Hemp</t>
  </si>
  <si>
    <t xml:space="preserve">Hayward Dispensary Delivery</t>
  </si>
  <si>
    <t xml:space="preserve">NUG Wellness</t>
  </si>
  <si>
    <t xml:space="preserve">FLOR - Union City Dispensary</t>
  </si>
  <si>
    <t xml:space="preserve">Union City</t>
  </si>
  <si>
    <t xml:space="preserve">Lemonnade Union City Dispensary</t>
  </si>
  <si>
    <t xml:space="preserve">Harborside San Leandro Dispensary</t>
  </si>
  <si>
    <t xml:space="preserve">San Leandro</t>
  </si>
  <si>
    <t xml:space="preserve">4Twenty Market Weed Dispensary Oakland</t>
  </si>
  <si>
    <t xml:space="preserve">Oakland</t>
  </si>
  <si>
    <t xml:space="preserve">Three Trees Weed Dispensary Kiosk</t>
  </si>
  <si>
    <t xml:space="preserve">KANNA Weed Dispensary Oakland</t>
  </si>
  <si>
    <t xml:space="preserve">Harborside Oakland Dispensary</t>
  </si>
  <si>
    <t xml:space="preserve">Ivy Hill Weed Dispensary Oakland</t>
  </si>
  <si>
    <t xml:space="preserve">Urbana Weed Dispensary Oakland</t>
  </si>
  <si>
    <t xml:space="preserve">Pipeline summary</t>
  </si>
  <si>
    <t xml:space="preserve">Total prospects</t>
  </si>
  <si>
    <t xml:space="preserve">Contacted</t>
  </si>
  <si>
    <t xml:space="preserve">Won</t>
  </si>
  <si>
    <t xml:space="preserve">Lost</t>
  </si>
  <si>
    <t xml:space="preserve">Estimated MRR from won</t>
  </si>
  <si>
    <t xml:space="preserve">Estimated MRR in pipeline (not lost)</t>
  </si>
  <si>
    <t xml:space="preserve">Charter Rate Card</t>
  </si>
  <si>
    <t xml:space="preserve">Locked for 12 months for the first 5 partners per tier. Cancel any month with 30 days' written notice.</t>
  </si>
  <si>
    <t xml:space="preserve">Tier</t>
  </si>
  <si>
    <t xml:space="preserve">Charter monthly</t>
  </si>
  <si>
    <t xml:space="preserve">What's included</t>
  </si>
  <si>
    <t xml:space="preserve">Best for</t>
  </si>
  <si>
    <t xml:space="preserve">Charter slots remaining</t>
  </si>
  <si>
    <t xml:space="preserve">Listed Partner</t>
  </si>
  <si>
    <t xml:space="preserve">Your dispensary name shown next to strains you stock. No campaign management.</t>
  </si>
  <si>
    <t xml:space="preserve">Always-on baseline visibility.</t>
  </si>
  <si>
    <t xml:space="preserve">Unlimited</t>
  </si>
  <si>
    <t xml:space="preserve">Banner Partner</t>
  </si>
  <si>
    <t xml:space="preserve">Branded banner rotating in the home slot. Quarterly creative refresh. Monthly impression report.</t>
  </si>
  <si>
    <t xml:space="preserve">Awareness, store events, openings.</t>
  </si>
  <si>
    <t xml:space="preserve">Result Partner</t>
  </si>
  <si>
    <t xml:space="preserve">Branded card on the post-match result screen — highest-intent moment. Monthly impression + engagement report.</t>
  </si>
  <si>
    <t xml:space="preserve">Driving foot traffic, current promotions.</t>
  </si>
  <si>
    <t xml:space="preserve">Sponsored Strain</t>
  </si>
  <si>
    <t xml:space="preserve">Your card surfaces when a user's match aligns with a strain you stock (up to 3 strains). Monthly match-rate report.</t>
  </si>
  <si>
    <t xml:space="preserve">Moving specific SKUs, brand-house tie-ins.</t>
  </si>
  <si>
    <t xml:space="preserve">Result + Sponsored (bundle)</t>
  </si>
  <si>
    <t xml:space="preserve">Result Partner placement plus Sponsored Strain mechanic on up to 3 strains. ~20% off combined rate.</t>
  </si>
  <si>
    <t xml:space="preserve">The full intent-matched stack.</t>
  </si>
  <si>
    <t xml:space="preserve">3-touch outreach playbook (quick reference)</t>
  </si>
  <si>
    <t xml:space="preserve">Full email copy with personalization tokens lives in OUTREACH_EMAILS.md. Use this sheet as your call-prep cheat sheet.</t>
  </si>
  <si>
    <t xml:space="preserve">Touch 1 — Day 0</t>
  </si>
  <si>
    <t xml:space="preserve">Cold email. Reference one specific strain they stock from our catalog. Single ask: 15 min call. No attachments.</t>
  </si>
  <si>
    <t xml:space="preserve">Touch 2 — Day +5</t>
  </si>
  <si>
    <t xml:space="preserve">Reply in the same thread. One sentence on the high-intent placement. Single ask: same call. Attach the media kit PDF.</t>
  </si>
  <si>
    <t xml:space="preserve">Touch 3 — Day +14</t>
  </si>
  <si>
    <t xml:space="preserve">Final breakup. "Closing the loop — should I check back in Q3?" Lowest possible ask. No attachment.</t>
  </si>
  <si>
    <t xml:space="preserve">Touch 4 — In person</t>
  </si>
  <si>
    <t xml:space="preserve">If they're nearby and didn't reply: drop in during slow hours (Tue–Wed 2–4 PM). 60 seconds. Hand them a printed media kit. Ask for the buyer's email if they're not in.</t>
  </si>
  <si>
    <t xml:space="preserve">Discovery call agenda</t>
  </si>
  <si>
    <t xml:space="preserve">1. Their store + customer profile (3 min). 2. Live demo on your phone (4 min). 3. Their compliance concerns (3 min). 4. Tier recommendation + pricing (3 min). 5. Next step + paperwork timing (2 min).</t>
  </si>
  <si>
    <t xml:space="preserve">If they ask 'how many users'</t>
  </si>
  <si>
    <t xml:space="preserve">Be honest: "We're charter-stage — that's why these rates are locked for 12 months. Here's what we can guarantee instead: monthly reports drawn from real platform events, 30-day cancel, no annual lock-in."</t>
  </si>
  <si>
    <t xml:space="preserve">If they ask 'how is this different from Weedmaps'</t>
  </si>
  <si>
    <t xml:space="preserve">"We're upstream of Weedmaps. Weedmaps catches the user when they're choosing where to buy. We're at the moment they're choosing what to buy. The two complement; we're not asking you to swap."</t>
  </si>
  <si>
    <t xml:space="preserve">If they ask 'what's the contract'</t>
  </si>
  <si>
    <t xml:space="preserve">"One-page partnership letter. 30 days' notice to cancel any month. No annual commitment. Charter rate locked 12 months from start."</t>
  </si>
  <si>
    <t xml:space="preserve">Hard no — handle gracefully</t>
  </si>
  <si>
    <t xml:space="preserve">"Understood. May I check back in 6 months? In the meantime, your store name continues to show in our catalog at no charge."</t>
  </si>
  <si>
    <t xml:space="preserve">Won — onboarding sequence</t>
  </si>
  <si>
    <t xml:space="preserve">Send partnership letter (1 day) → creative intake form (2 days) → mockup screenshot (5 days) → go live (within 2 weeks). First report by 5th of the following month.</t>
  </si>
</sst>
</file>

<file path=xl/styles.xml><?xml version="1.0" encoding="utf-8"?>
<styleSheet xmlns="http://schemas.openxmlformats.org/spreadsheetml/2006/main">
  <numFmts count="3">
    <numFmt numFmtId="164" formatCode="General"/>
    <numFmt numFmtId="165" formatCode="#,##0;\(#,##0\);\-"/>
    <numFmt numFmtId="166" formatCode="\$#,##0;&quot;($&quot;#,##0\);\-"/>
  </numFmts>
  <fonts count="9">
    <font>
      <sz val="11"/>
      <color theme="1"/>
      <name val="Calibri"/>
      <family val="2"/>
      <charset val="1"/>
    </font>
    <font>
      <sz val="10"/>
      <name val="Arial"/>
      <family val="0"/>
    </font>
    <font>
      <sz val="10"/>
      <name val="Arial"/>
      <family val="0"/>
    </font>
    <font>
      <sz val="10"/>
      <name val="Arial"/>
      <family val="0"/>
    </font>
    <font>
      <b val="true"/>
      <sz val="14"/>
      <color rgb="FF111827"/>
      <name val="Arial"/>
      <family val="0"/>
      <charset val="1"/>
    </font>
    <font>
      <i val="true"/>
      <sz val="9"/>
      <color rgb="FF6B7280"/>
      <name val="Arial"/>
      <family val="0"/>
      <charset val="1"/>
    </font>
    <font>
      <b val="true"/>
      <sz val="11"/>
      <color rgb="FFFFFFFF"/>
      <name val="Arial"/>
      <family val="0"/>
      <charset val="1"/>
    </font>
    <font>
      <sz val="10"/>
      <color rgb="FF111827"/>
      <name val="Arial"/>
      <family val="0"/>
      <charset val="1"/>
    </font>
    <font>
      <sz val="10"/>
      <color rgb="FF0000FF"/>
      <name val="Arial"/>
      <family val="0"/>
      <charset val="1"/>
    </font>
  </fonts>
  <fills count="5">
    <fill>
      <patternFill patternType="none"/>
    </fill>
    <fill>
      <patternFill patternType="gray125"/>
    </fill>
    <fill>
      <patternFill patternType="solid">
        <fgColor rgb="FF0A0E17"/>
        <bgColor rgb="FF111827"/>
      </patternFill>
    </fill>
    <fill>
      <patternFill patternType="solid">
        <fgColor rgb="FFFFF7E6"/>
        <bgColor rgb="FFF3F4F6"/>
      </patternFill>
    </fill>
    <fill>
      <patternFill patternType="solid">
        <fgColor rgb="FFF3F4F6"/>
        <bgColor rgb="FFFFF7E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A0E17"/>
      <rgbColor rgb="FF808000"/>
      <rgbColor rgb="FF800080"/>
      <rgbColor rgb="FF008080"/>
      <rgbColor rgb="FFC0C0C0"/>
      <rgbColor rgb="FF808080"/>
      <rgbColor rgb="FF9999FF"/>
      <rgbColor rgb="FF993366"/>
      <rgbColor rgb="FFFFF7E6"/>
      <rgbColor rgb="FFF3F4F6"/>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3"/>
    <col collapsed="false" customWidth="true" hidden="false" outlineLevel="0" max="3" min="3" style="0" width="12"/>
    <col collapsed="false" customWidth="true" hidden="false" outlineLevel="0" max="4" min="4" style="0" width="38"/>
    <col collapsed="false" customWidth="true" hidden="false" outlineLevel="0" max="5" min="5" style="0" width="24"/>
    <col collapsed="false" customWidth="true" hidden="false" outlineLevel="0" max="6" min="6" style="0" width="22"/>
    <col collapsed="false" customWidth="true" hidden="false" outlineLevel="0" max="7" min="7" style="0" width="28"/>
    <col collapsed="false" customWidth="true" hidden="false" outlineLevel="0" max="8" min="8" style="0" width="16"/>
    <col collapsed="false" customWidth="true" hidden="false" outlineLevel="0" max="9" min="9" style="0" width="18"/>
    <col collapsed="false" customWidth="true" hidden="false" outlineLevel="0" max="10" min="10" style="0" width="14"/>
    <col collapsed="false" customWidth="true" hidden="false" outlineLevel="0" max="11" min="11" style="0" width="28"/>
    <col collapsed="false" customWidth="true" hidden="false" outlineLevel="0" max="12" min="12" style="0" width="14"/>
    <col collapsed="false" customWidth="true" hidden="false" outlineLevel="0" max="13" min="13" style="0" width="32"/>
    <col collapsed="false" customWidth="true" hidden="false" outlineLevel="0" max="14" min="14" style="0" width="14"/>
  </cols>
  <sheetData>
    <row r="1" customFormat="false" ht="21.75" hidden="false" customHeight="true" outlineLevel="0" collapsed="false">
      <c r="A1" s="1" t="s">
        <v>0</v>
      </c>
      <c r="B1" s="1"/>
      <c r="C1" s="1"/>
      <c r="D1" s="1"/>
      <c r="E1" s="1"/>
      <c r="F1" s="1"/>
      <c r="G1" s="1"/>
      <c r="H1" s="1"/>
      <c r="I1" s="1"/>
      <c r="J1" s="1"/>
      <c r="K1" s="1"/>
      <c r="L1" s="1"/>
      <c r="M1" s="1"/>
      <c r="N1" s="1"/>
    </row>
    <row r="2" customFormat="false" ht="30" hidden="false" customHeight="true" outlineLevel="0" collapsed="false">
      <c r="A2" s="2" t="s">
        <v>1</v>
      </c>
      <c r="B2" s="2"/>
      <c r="C2" s="2"/>
      <c r="D2" s="2"/>
      <c r="E2" s="2"/>
      <c r="F2" s="2"/>
      <c r="G2" s="2"/>
      <c r="H2" s="2"/>
      <c r="I2" s="2"/>
      <c r="J2" s="2"/>
      <c r="K2" s="2"/>
      <c r="L2" s="2"/>
      <c r="M2" s="2"/>
      <c r="N2" s="2"/>
    </row>
    <row r="4" customFormat="false" ht="36"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42" hidden="false" customHeight="true" outlineLevel="0" collapsed="false">
      <c r="A5" s="4" t="s">
        <v>16</v>
      </c>
      <c r="B5" s="4" t="s">
        <v>17</v>
      </c>
      <c r="C5" s="4" t="n">
        <v>148</v>
      </c>
      <c r="D5" s="4" t="s">
        <v>18</v>
      </c>
      <c r="E5" s="5" t="s">
        <v>19</v>
      </c>
      <c r="F5" s="5"/>
      <c r="G5" s="5"/>
      <c r="H5" s="5"/>
      <c r="I5" s="5" t="s">
        <v>20</v>
      </c>
      <c r="J5" s="5"/>
      <c r="K5" s="5"/>
      <c r="L5" s="5"/>
      <c r="M5" s="5"/>
      <c r="N5" s="5"/>
    </row>
    <row r="6" customFormat="false" ht="42" hidden="false" customHeight="true" outlineLevel="0" collapsed="false">
      <c r="A6" s="6" t="s">
        <v>21</v>
      </c>
      <c r="B6" s="6" t="s">
        <v>17</v>
      </c>
      <c r="C6" s="6" t="n">
        <v>0</v>
      </c>
      <c r="D6" s="6" t="s">
        <v>22</v>
      </c>
      <c r="E6" s="5" t="s">
        <v>23</v>
      </c>
      <c r="F6" s="5"/>
      <c r="G6" s="5"/>
      <c r="H6" s="5"/>
      <c r="I6" s="5" t="s">
        <v>20</v>
      </c>
      <c r="J6" s="5"/>
      <c r="K6" s="5"/>
      <c r="L6" s="5"/>
      <c r="M6" s="5"/>
      <c r="N6" s="5"/>
    </row>
    <row r="7" customFormat="false" ht="42" hidden="false" customHeight="true" outlineLevel="0" collapsed="false">
      <c r="A7" s="4" t="s">
        <v>24</v>
      </c>
      <c r="B7" s="4" t="s">
        <v>17</v>
      </c>
      <c r="C7" s="4" t="n">
        <v>0</v>
      </c>
      <c r="D7" s="4" t="s">
        <v>22</v>
      </c>
      <c r="E7" s="5" t="s">
        <v>23</v>
      </c>
      <c r="F7" s="5"/>
      <c r="G7" s="5"/>
      <c r="H7" s="5"/>
      <c r="I7" s="5" t="s">
        <v>20</v>
      </c>
      <c r="J7" s="5"/>
      <c r="K7" s="5"/>
      <c r="L7" s="5"/>
      <c r="M7" s="5"/>
      <c r="N7" s="5"/>
    </row>
    <row r="8" customFormat="false" ht="42" hidden="false" customHeight="true" outlineLevel="0" collapsed="false">
      <c r="A8" s="6" t="s">
        <v>25</v>
      </c>
      <c r="B8" s="6" t="s">
        <v>17</v>
      </c>
      <c r="C8" s="6" t="n">
        <v>0</v>
      </c>
      <c r="D8" s="6" t="s">
        <v>22</v>
      </c>
      <c r="E8" s="5" t="s">
        <v>23</v>
      </c>
      <c r="F8" s="5"/>
      <c r="G8" s="5"/>
      <c r="H8" s="5"/>
      <c r="I8" s="5" t="s">
        <v>20</v>
      </c>
      <c r="J8" s="5"/>
      <c r="K8" s="5"/>
      <c r="L8" s="5"/>
      <c r="M8" s="5"/>
      <c r="N8" s="5"/>
    </row>
    <row r="9" customFormat="false" ht="42" hidden="false" customHeight="true" outlineLevel="0" collapsed="false">
      <c r="A9" s="4" t="s">
        <v>26</v>
      </c>
      <c r="B9" s="4" t="s">
        <v>17</v>
      </c>
      <c r="C9" s="4" t="n">
        <v>0</v>
      </c>
      <c r="D9" s="4" t="s">
        <v>22</v>
      </c>
      <c r="E9" s="5" t="s">
        <v>23</v>
      </c>
      <c r="F9" s="5"/>
      <c r="G9" s="5"/>
      <c r="H9" s="5"/>
      <c r="I9" s="5" t="s">
        <v>20</v>
      </c>
      <c r="J9" s="5"/>
      <c r="K9" s="5"/>
      <c r="L9" s="5"/>
      <c r="M9" s="5"/>
      <c r="N9" s="5"/>
    </row>
    <row r="10" customFormat="false" ht="42" hidden="false" customHeight="true" outlineLevel="0" collapsed="false">
      <c r="A10" s="6" t="s">
        <v>27</v>
      </c>
      <c r="B10" s="6" t="s">
        <v>28</v>
      </c>
      <c r="C10" s="6" t="n">
        <v>0</v>
      </c>
      <c r="D10" s="6" t="s">
        <v>22</v>
      </c>
      <c r="E10" s="5" t="s">
        <v>23</v>
      </c>
      <c r="F10" s="5"/>
      <c r="G10" s="5"/>
      <c r="H10" s="5"/>
      <c r="I10" s="5" t="s">
        <v>20</v>
      </c>
      <c r="J10" s="5"/>
      <c r="K10" s="5"/>
      <c r="L10" s="5"/>
      <c r="M10" s="5"/>
      <c r="N10" s="5"/>
    </row>
    <row r="11" customFormat="false" ht="42" hidden="false" customHeight="true" outlineLevel="0" collapsed="false">
      <c r="A11" s="4" t="s">
        <v>29</v>
      </c>
      <c r="B11" s="4" t="s">
        <v>28</v>
      </c>
      <c r="C11" s="4" t="n">
        <v>0</v>
      </c>
      <c r="D11" s="4" t="s">
        <v>22</v>
      </c>
      <c r="E11" s="5" t="s">
        <v>23</v>
      </c>
      <c r="F11" s="5"/>
      <c r="G11" s="5"/>
      <c r="H11" s="5"/>
      <c r="I11" s="5" t="s">
        <v>20</v>
      </c>
      <c r="J11" s="5"/>
      <c r="K11" s="5"/>
      <c r="L11" s="5"/>
      <c r="M11" s="5"/>
      <c r="N11" s="5"/>
    </row>
    <row r="12" customFormat="false" ht="42" hidden="false" customHeight="true" outlineLevel="0" collapsed="false">
      <c r="A12" s="6" t="s">
        <v>30</v>
      </c>
      <c r="B12" s="6" t="s">
        <v>31</v>
      </c>
      <c r="C12" s="6" t="n">
        <v>0</v>
      </c>
      <c r="D12" s="6" t="s">
        <v>22</v>
      </c>
      <c r="E12" s="5" t="s">
        <v>23</v>
      </c>
      <c r="F12" s="5"/>
      <c r="G12" s="5"/>
      <c r="H12" s="5"/>
      <c r="I12" s="5" t="s">
        <v>20</v>
      </c>
      <c r="J12" s="5"/>
      <c r="K12" s="5"/>
      <c r="L12" s="5"/>
      <c r="M12" s="5"/>
      <c r="N12" s="5"/>
    </row>
    <row r="13" customFormat="false" ht="42" hidden="false" customHeight="true" outlineLevel="0" collapsed="false">
      <c r="A13" s="4" t="s">
        <v>32</v>
      </c>
      <c r="B13" s="4" t="s">
        <v>33</v>
      </c>
      <c r="C13" s="4" t="n">
        <v>0</v>
      </c>
      <c r="D13" s="4" t="s">
        <v>22</v>
      </c>
      <c r="E13" s="5" t="s">
        <v>23</v>
      </c>
      <c r="F13" s="5"/>
      <c r="G13" s="5"/>
      <c r="H13" s="5"/>
      <c r="I13" s="5" t="s">
        <v>20</v>
      </c>
      <c r="J13" s="5"/>
      <c r="K13" s="5"/>
      <c r="L13" s="5"/>
      <c r="M13" s="5"/>
      <c r="N13" s="5"/>
    </row>
    <row r="14" customFormat="false" ht="42" hidden="false" customHeight="true" outlineLevel="0" collapsed="false">
      <c r="A14" s="6" t="s">
        <v>34</v>
      </c>
      <c r="B14" s="6" t="s">
        <v>33</v>
      </c>
      <c r="C14" s="6" t="n">
        <v>0</v>
      </c>
      <c r="D14" s="6" t="s">
        <v>22</v>
      </c>
      <c r="E14" s="5" t="s">
        <v>23</v>
      </c>
      <c r="F14" s="5"/>
      <c r="G14" s="5"/>
      <c r="H14" s="5"/>
      <c r="I14" s="5" t="s">
        <v>20</v>
      </c>
      <c r="J14" s="5"/>
      <c r="K14" s="5"/>
      <c r="L14" s="5"/>
      <c r="M14" s="5"/>
      <c r="N14" s="5"/>
    </row>
    <row r="15" customFormat="false" ht="42" hidden="false" customHeight="true" outlineLevel="0" collapsed="false">
      <c r="A15" s="4" t="s">
        <v>35</v>
      </c>
      <c r="B15" s="4" t="s">
        <v>33</v>
      </c>
      <c r="C15" s="4" t="n">
        <v>0</v>
      </c>
      <c r="D15" s="4" t="s">
        <v>22</v>
      </c>
      <c r="E15" s="5" t="s">
        <v>23</v>
      </c>
      <c r="F15" s="5"/>
      <c r="G15" s="5"/>
      <c r="H15" s="5"/>
      <c r="I15" s="5" t="s">
        <v>20</v>
      </c>
      <c r="J15" s="5"/>
      <c r="K15" s="5"/>
      <c r="L15" s="5"/>
      <c r="M15" s="5"/>
      <c r="N15" s="5"/>
    </row>
    <row r="16" customFormat="false" ht="42" hidden="false" customHeight="true" outlineLevel="0" collapsed="false">
      <c r="A16" s="6" t="s">
        <v>36</v>
      </c>
      <c r="B16" s="6" t="s">
        <v>33</v>
      </c>
      <c r="C16" s="6" t="n">
        <v>0</v>
      </c>
      <c r="D16" s="6" t="s">
        <v>22</v>
      </c>
      <c r="E16" s="5" t="s">
        <v>23</v>
      </c>
      <c r="F16" s="5"/>
      <c r="G16" s="5"/>
      <c r="H16" s="5"/>
      <c r="I16" s="5" t="s">
        <v>20</v>
      </c>
      <c r="J16" s="5"/>
      <c r="K16" s="5"/>
      <c r="L16" s="5"/>
      <c r="M16" s="5"/>
      <c r="N16" s="5"/>
    </row>
    <row r="17" customFormat="false" ht="42" hidden="false" customHeight="true" outlineLevel="0" collapsed="false">
      <c r="A17" s="4" t="s">
        <v>37</v>
      </c>
      <c r="B17" s="4" t="s">
        <v>33</v>
      </c>
      <c r="C17" s="4" t="n">
        <v>0</v>
      </c>
      <c r="D17" s="4" t="s">
        <v>22</v>
      </c>
      <c r="E17" s="5" t="s">
        <v>23</v>
      </c>
      <c r="F17" s="5"/>
      <c r="G17" s="5"/>
      <c r="H17" s="5"/>
      <c r="I17" s="5" t="s">
        <v>20</v>
      </c>
      <c r="J17" s="5"/>
      <c r="K17" s="5"/>
      <c r="L17" s="5"/>
      <c r="M17" s="5"/>
      <c r="N17" s="5"/>
    </row>
    <row r="18" customFormat="false" ht="42" hidden="false" customHeight="true" outlineLevel="0" collapsed="false">
      <c r="A18" s="6" t="s">
        <v>38</v>
      </c>
      <c r="B18" s="6" t="s">
        <v>33</v>
      </c>
      <c r="C18" s="6" t="n">
        <v>0</v>
      </c>
      <c r="D18" s="6" t="s">
        <v>22</v>
      </c>
      <c r="E18" s="5" t="s">
        <v>23</v>
      </c>
      <c r="F18" s="5"/>
      <c r="G18" s="5"/>
      <c r="H18" s="5"/>
      <c r="I18" s="5" t="s">
        <v>20</v>
      </c>
      <c r="J18" s="5"/>
      <c r="K18" s="5"/>
      <c r="L18" s="5"/>
      <c r="M18" s="5"/>
      <c r="N18" s="5"/>
    </row>
    <row r="21" customFormat="false" ht="17.35" hidden="false" customHeight="false" outlineLevel="0" collapsed="false">
      <c r="A21" s="7" t="s">
        <v>39</v>
      </c>
    </row>
    <row r="22" customFormat="false" ht="15" hidden="false" customHeight="false" outlineLevel="0" collapsed="false">
      <c r="A22" s="8" t="s">
        <v>40</v>
      </c>
      <c r="B22" s="9" t="n">
        <f aca="false">COUNTA(A5:A18)</f>
        <v>14</v>
      </c>
    </row>
    <row r="23" customFormat="false" ht="15" hidden="false" customHeight="false" outlineLevel="0" collapsed="false">
      <c r="A23" s="8" t="s">
        <v>41</v>
      </c>
      <c r="B23" s="9" t="n">
        <f aca="false">COUNTIF(I5:I18,"Email sent") + COUNTIF(I5:I18,"Replied") + COUNTIF(I5:I18,"Meeting booked") + COUNTIF(I5:I18,"Demo scheduled") + COUNTIF(I5:I18,"Negotiating") + COUNTIF(I5:I18,"Won")</f>
        <v>0</v>
      </c>
    </row>
    <row r="24" customFormat="false" ht="15" hidden="false" customHeight="false" outlineLevel="0" collapsed="false">
      <c r="A24" s="8" t="s">
        <v>42</v>
      </c>
      <c r="B24" s="9" t="n">
        <f aca="false">COUNTIF(I5:I18,"Won")</f>
        <v>0</v>
      </c>
    </row>
    <row r="25" customFormat="false" ht="15" hidden="false" customHeight="false" outlineLevel="0" collapsed="false">
      <c r="A25" s="8" t="s">
        <v>43</v>
      </c>
      <c r="B25" s="9" t="n">
        <f aca="false">COUNTIF(I5:I18,"Lost")</f>
        <v>0</v>
      </c>
    </row>
    <row r="26" customFormat="false" ht="15" hidden="false" customHeight="false" outlineLevel="0" collapsed="false">
      <c r="A26" s="8" t="s">
        <v>44</v>
      </c>
      <c r="B26" s="10" t="n">
        <f aca="false">SUMIF(I5:I18,"Won",N5:N18)</f>
        <v>0</v>
      </c>
    </row>
    <row r="27" customFormat="false" ht="23.85" hidden="false" customHeight="false" outlineLevel="0" collapsed="false">
      <c r="A27" s="8" t="s">
        <v>45</v>
      </c>
      <c r="B27" s="10" t="n">
        <f aca="false">SUMIFS(N5:N18,I5:I18,"&lt;&gt;Lost",I5:I18,"&lt;&gt;Not contacted")</f>
        <v>0</v>
      </c>
    </row>
  </sheetData>
  <mergeCells count="2">
    <mergeCell ref="A1:N1"/>
    <mergeCell ref="A2:N2"/>
  </mergeCells>
  <dataValidations count="1">
    <dataValidation allowBlank="false" errorStyle="stop" operator="between" showDropDown="false" showErrorMessage="false" showInputMessage="false" sqref="I5:I18" type="list">
      <formula1>"Not contacted,Researching,Email sent,Replied,Meeting booked,Demo scheduled,Negotiating,Won,Lost,Pause / nurture"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48"/>
    <col collapsed="false" customWidth="true" hidden="false" outlineLevel="0" max="4" min="4" style="0" width="32"/>
    <col collapsed="false" customWidth="true" hidden="false" outlineLevel="0" max="5" min="5" style="0" width="18"/>
  </cols>
  <sheetData>
    <row r="1" customFormat="false" ht="21.75" hidden="false" customHeight="true" outlineLevel="0" collapsed="false">
      <c r="A1" s="1" t="s">
        <v>46</v>
      </c>
      <c r="B1" s="1"/>
      <c r="C1" s="1"/>
      <c r="D1" s="1"/>
      <c r="E1" s="1"/>
    </row>
    <row r="2" customFormat="false" ht="21.75" hidden="false" customHeight="true" outlineLevel="0" collapsed="false">
      <c r="A2" s="2" t="s">
        <v>47</v>
      </c>
      <c r="B2" s="2"/>
      <c r="C2" s="2"/>
      <c r="D2" s="2"/>
      <c r="E2" s="2"/>
    </row>
    <row r="4" customFormat="false" ht="36" hidden="false" customHeight="true" outlineLevel="0" collapsed="false">
      <c r="A4" s="3" t="s">
        <v>48</v>
      </c>
      <c r="B4" s="3" t="s">
        <v>49</v>
      </c>
      <c r="C4" s="3" t="s">
        <v>50</v>
      </c>
      <c r="D4" s="3" t="s">
        <v>51</v>
      </c>
      <c r="E4" s="3" t="s">
        <v>52</v>
      </c>
    </row>
    <row r="5" customFormat="false" ht="48" hidden="false" customHeight="true" outlineLevel="0" collapsed="false">
      <c r="A5" s="4" t="s">
        <v>53</v>
      </c>
      <c r="B5" s="11" t="n">
        <v>0</v>
      </c>
      <c r="C5" s="4" t="s">
        <v>54</v>
      </c>
      <c r="D5" s="4" t="s">
        <v>55</v>
      </c>
      <c r="E5" s="12" t="s">
        <v>56</v>
      </c>
    </row>
    <row r="6" customFormat="false" ht="48" hidden="false" customHeight="true" outlineLevel="0" collapsed="false">
      <c r="A6" s="6" t="s">
        <v>57</v>
      </c>
      <c r="B6" s="13" t="n">
        <v>99</v>
      </c>
      <c r="C6" s="6" t="s">
        <v>58</v>
      </c>
      <c r="D6" s="6" t="s">
        <v>59</v>
      </c>
      <c r="E6" s="14" t="n">
        <v>5</v>
      </c>
    </row>
    <row r="7" customFormat="false" ht="48" hidden="false" customHeight="true" outlineLevel="0" collapsed="false">
      <c r="A7" s="4" t="s">
        <v>60</v>
      </c>
      <c r="B7" s="11" t="n">
        <v>199</v>
      </c>
      <c r="C7" s="4" t="s">
        <v>61</v>
      </c>
      <c r="D7" s="4" t="s">
        <v>62</v>
      </c>
      <c r="E7" s="12" t="n">
        <v>5</v>
      </c>
    </row>
    <row r="8" customFormat="false" ht="48" hidden="false" customHeight="true" outlineLevel="0" collapsed="false">
      <c r="A8" s="6" t="s">
        <v>63</v>
      </c>
      <c r="B8" s="13" t="n">
        <v>299</v>
      </c>
      <c r="C8" s="6" t="s">
        <v>64</v>
      </c>
      <c r="D8" s="6" t="s">
        <v>65</v>
      </c>
      <c r="E8" s="14" t="n">
        <v>5</v>
      </c>
    </row>
    <row r="9" customFormat="false" ht="48" hidden="false" customHeight="true" outlineLevel="0" collapsed="false">
      <c r="A9" s="4" t="s">
        <v>66</v>
      </c>
      <c r="B9" s="11" t="n">
        <v>399</v>
      </c>
      <c r="C9" s="4" t="s">
        <v>67</v>
      </c>
      <c r="D9" s="4" t="s">
        <v>68</v>
      </c>
      <c r="E9" s="12" t="n">
        <v>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5"/>
  </cols>
  <sheetData>
    <row r="1" customFormat="false" ht="21.75" hidden="false" customHeight="true" outlineLevel="0" collapsed="false">
      <c r="A1" s="1" t="s">
        <v>69</v>
      </c>
      <c r="B1" s="1"/>
    </row>
    <row r="2" customFormat="false" ht="21.75" hidden="false" customHeight="true" outlineLevel="0" collapsed="false">
      <c r="A2" s="2" t="s">
        <v>70</v>
      </c>
      <c r="B2" s="2"/>
    </row>
    <row r="4" customFormat="false" ht="48" hidden="false" customHeight="true" outlineLevel="0" collapsed="false">
      <c r="A4" s="15" t="s">
        <v>71</v>
      </c>
      <c r="B4" s="4" t="s">
        <v>72</v>
      </c>
    </row>
    <row r="5" customFormat="false" ht="48" hidden="false" customHeight="true" outlineLevel="0" collapsed="false">
      <c r="A5" s="15" t="s">
        <v>73</v>
      </c>
      <c r="B5" s="6" t="s">
        <v>74</v>
      </c>
    </row>
    <row r="6" customFormat="false" ht="48" hidden="false" customHeight="true" outlineLevel="0" collapsed="false">
      <c r="A6" s="15" t="s">
        <v>75</v>
      </c>
      <c r="B6" s="4" t="s">
        <v>76</v>
      </c>
    </row>
    <row r="7" customFormat="false" ht="48" hidden="false" customHeight="true" outlineLevel="0" collapsed="false">
      <c r="A7" s="15" t="s">
        <v>77</v>
      </c>
      <c r="B7" s="6" t="s">
        <v>78</v>
      </c>
    </row>
    <row r="8" customFormat="false" ht="48" hidden="false" customHeight="true" outlineLevel="0" collapsed="false">
      <c r="A8" s="15" t="s">
        <v>79</v>
      </c>
      <c r="B8" s="4" t="s">
        <v>80</v>
      </c>
    </row>
    <row r="9" customFormat="false" ht="48" hidden="false" customHeight="true" outlineLevel="0" collapsed="false">
      <c r="A9" s="15" t="s">
        <v>81</v>
      </c>
      <c r="B9" s="6" t="s">
        <v>82</v>
      </c>
    </row>
    <row r="10" customFormat="false" ht="48" hidden="false" customHeight="true" outlineLevel="0" collapsed="false">
      <c r="A10" s="15" t="s">
        <v>83</v>
      </c>
      <c r="B10" s="4" t="s">
        <v>84</v>
      </c>
    </row>
    <row r="11" customFormat="false" ht="48" hidden="false" customHeight="true" outlineLevel="0" collapsed="false">
      <c r="A11" s="15" t="s">
        <v>85</v>
      </c>
      <c r="B11" s="6" t="s">
        <v>86</v>
      </c>
    </row>
    <row r="12" customFormat="false" ht="48" hidden="false" customHeight="true" outlineLevel="0" collapsed="false">
      <c r="A12" s="15" t="s">
        <v>87</v>
      </c>
      <c r="B12" s="4" t="s">
        <v>88</v>
      </c>
    </row>
    <row r="13" customFormat="false" ht="48" hidden="false" customHeight="true" outlineLevel="0" collapsed="false">
      <c r="A13" s="15" t="s">
        <v>89</v>
      </c>
      <c r="B13" s="6" t="s">
        <v>90</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2026-04-25T10:29:23Z</dcterms:created>
  <dc:creator>openpyxl</dc:creator>
  <dc:description/>
  <dc:language>en-US</dc:language>
  <cp:lastModifiedBy/>
  <dcterms:modified xsi:type="dcterms:W3CDTF">2026-04-25T10:29:23Z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